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henrique.rosa\Documents\Cursos\excel\"/>
    </mc:Choice>
  </mc:AlternateContent>
  <bookViews>
    <workbookView xWindow="0" yWindow="-120" windowWidth="17100" windowHeight="9855" tabRatio="698" activeTab="2"/>
  </bookViews>
  <sheets>
    <sheet name="Menu" sheetId="25" r:id="rId1"/>
    <sheet name="Produtos" sheetId="17" r:id="rId2"/>
    <sheet name="Filtro Avançado" sheetId="43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Dashboard Histórico" sheetId="40" state="hidden" r:id="rId14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5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52511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  <extLst>
    <ext xmlns:x14="http://schemas.microsoft.com/office/spreadsheetml/2009/9/main" uri="{876F7934-8845-4945-9796-88D515C7AA90}">
      <x14:pivotCaches>
        <pivotCache cacheId="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J6" i="37"/>
  <c r="K6" i="37"/>
  <c r="K4" i="37"/>
  <c r="N6" i="42"/>
  <c r="N5" i="42"/>
  <c r="K5" i="37"/>
  <c r="J4" i="37"/>
  <c r="AQ4" i="18"/>
  <c r="BK4" i="18"/>
  <c r="J5" i="37"/>
  <c r="M4" i="42"/>
  <c r="M6" i="42"/>
  <c r="M5" i="42"/>
  <c r="N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>
  <connection id="1" keepAlive="1" name="Consulta - Vendas" description="Conexão com a consulta 'Vendas' na pasta de trabalho." type="5" refreshedVersion="8" background="1" saveData="1">
    <dbPr connection="provider=Microsoft.Mashup.OleDb.1;data source=$EmbeddedMashup(a5fa5707-552a-47cd-b5f2-533ba673e222)$;location=Vendas" command="SELECT * FROM [Vendas]"/>
  </connection>
  <connection id="2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<sst xmlns="http://schemas.openxmlformats.org/spreadsheetml/2006/main" count="1427" uniqueCount="185">
  <si>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</si>
  <si>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</si>
  <si>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</si>
  <si>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</si>
  <si>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</si>
  <si>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</si>
  <si>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</si>
  <si>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</si>
  <si>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</si>
  <si>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</si>
  <si>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</si>
  <si>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</si>
  <si>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</si>
  <si>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</si>
  <si>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</si>
  <si>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</si>
  <si>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</si>
  <si>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</si>
  <si>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</si>
  <si>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</si>
  <si>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</si>
  <si>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</si>
  <si>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</si>
  <si>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</si>
  <si>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</si>
  <si>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</si>
  <si>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</si>
  <si>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</si>
  <si>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</si>
  <si>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</si>
  <si>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</si>
  <si>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</si>
  <si>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</si>
  <si>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</si>
  <si>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</si>
  <si>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</si>
  <si>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</si>
  <si>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</si>
  <si>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</si>
  <si>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</si>
  <si>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</si>
  <si>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</si>
  <si>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</si>
  <si>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</si>
  <si>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</si>
  <si>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</si>
  <si>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</si>
  <si>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</si>
  <si>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</si>
  <si>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</si>
  <si>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</si>
  <si>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</si>
  <si>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</si>
  <si>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</si>
  <si>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</si>
  <si>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</si>
  <si>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</si>
  <si>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</si>
  <si>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</si>
  <si>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</si>
  <si>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</si>
  <si>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</si>
  <si>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</si>
  <si>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</si>
  <si>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</si>
  <si>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</si>
  <si>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</si>
  <si>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</si>
  <si>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</si>
  <si>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</si>
  <si>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</si>
  <si>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</si>
  <si>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</si>
  <si>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</si>
  <si>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</si>
  <si>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</si>
  <si>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</si>
  <si>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</si>
  <si>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</si>
  <si>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</si>
  <si>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</si>
  <si>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</si>
  <si>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</si>
  <si>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</si>
  <si>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</si>
  <si>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</si>
  <si>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</si>
  <si>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</si>
  <si>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</si>
  <si>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</si>
  <si>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</si>
  <si>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</si>
  <si>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</si>
  <si>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</si>
  <si>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</si>
  <si>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</si>
  <si>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</si>
  <si>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</si>
  <si>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</si>
  <si>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</si>
  <si>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</si>
  <si>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</si>
  <si>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</si>
  <si>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</si>
  <si>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</si>
  <si>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</si>
  <si>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</si>
  <si>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</si>
  <si>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</si>
  <si>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</si>
  <si>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</si>
  <si>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</si>
  <si>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</si>
  <si>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</si>
  <si>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</si>
  <si>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</si>
  <si>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</si>
  <si>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</si>
  <si>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</si>
  <si>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</si>
  <si>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</si>
  <si>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</si>
  <si>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</si>
  <si>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</si>
  <si>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</si>
  <si>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</si>
  <si>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</si>
  <si>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</si>
  <si>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</si>
  <si>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</si>
  <si>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</si>
  <si>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</si>
  <si>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</si>
  <si>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</si>
  <si>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</si>
  <si>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</si>
  <si>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</si>
  <si>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</si>
  <si>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</si>
  <si>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</si>
  <si>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</si>
  <si>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</si>
  <si>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</si>
  <si>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</si>
  <si>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</si>
  <si>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</si>
  <si>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</si>
  <si>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</si>
  <si>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</si>
  <si>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</si>
  <si>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</si>
  <si>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</si>
  <si>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</si>
  <si>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</si>
  <si>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</si>
  <si>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</si>
  <si>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</si>
  <si>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</si>
  <si>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</si>
  <si>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</si>
  <si>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</si>
  <si>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</si>
  <si>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</si>
  <si>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</si>
  <si>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</si>
  <si>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</si>
  <si>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</si>
  <si>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</si>
  <si>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</si>
  <si>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</si>
  <si>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</si>
  <si>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</si>
  <si>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</si>
  <si>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</si>
  <si>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</si>
  <si>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</si>
  <si>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</si>
  <si>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</si>
  <si>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</si>
  <si>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</si>
  <si>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</si>
  <si>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</si>
  <si>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</si>
  <si>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</si>
  <si>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&gt;100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</si>
</sst>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13" fillId="6" borderId="16" xfId="0" applyFont="1" applyFill="1" applyBorder="1" applyAlignment="1">
      <alignment horizontal="center"/>
    </xf>
    <xf numFmtId="0" fontId="13" fillId="6" borderId="18" xfId="0" applyFont="1" applyFill="1" applyBorder="1" applyAlignment="1">
      <alignment horizontal="center"/>
    </xf>
    <xf numFmtId="0" fontId="13" fillId="6" borderId="17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/>
    <xf numFmtId="0" fontId="0" fillId="0" borderId="5" xfId="0" applyFont="1" applyBorder="1" applyAlignment="1">
      <alignment horizontal="center"/>
    </xf>
    <xf numFmtId="165" fontId="0" fillId="0" borderId="6" xfId="0" applyNumberFormat="1" applyFont="1" applyBorder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</cellXfs>
  <cellStyles count="7">
    <cellStyle name="Cabeçalho Meteora" xfId="3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/>
  </cellStyles>
  <dxfs count="31"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sharedStrings" Target="sharedStrings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9007304"/>
        <c:axId val="287056576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931728"/>
        <c:axId val="450404928"/>
      </c:lineChart>
      <c:catAx>
        <c:axId val="449007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7056576"/>
        <c:crosses val="autoZero"/>
        <c:auto val="1"/>
        <c:lblAlgn val="ctr"/>
        <c:lblOffset val="100"/>
        <c:noMultiLvlLbl val="0"/>
      </c:catAx>
      <c:valAx>
        <c:axId val="28705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9007304"/>
        <c:crosses val="autoZero"/>
        <c:crossBetween val="between"/>
      </c:valAx>
      <c:valAx>
        <c:axId val="45040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1931728"/>
        <c:crosses val="max"/>
        <c:crossBetween val="between"/>
      </c:valAx>
      <c:catAx>
        <c:axId val="451931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040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85378416"/>
        <c:axId val="285380376"/>
      </c:barChart>
      <c:catAx>
        <c:axId val="285378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380376"/>
        <c:crosses val="autoZero"/>
        <c:auto val="1"/>
        <c:lblAlgn val="ctr"/>
        <c:lblOffset val="100"/>
        <c:noMultiLvlLbl val="0"/>
      </c:catAx>
      <c:valAx>
        <c:axId val="28538037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28537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377240"/>
        <c:axId val="28538155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378024"/>
        <c:axId val="285376848"/>
      </c:lineChart>
      <c:catAx>
        <c:axId val="285377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381552"/>
        <c:crosses val="autoZero"/>
        <c:auto val="1"/>
        <c:lblAlgn val="ctr"/>
        <c:lblOffset val="100"/>
        <c:noMultiLvlLbl val="0"/>
      </c:catAx>
      <c:valAx>
        <c:axId val="28538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377240"/>
        <c:crosses val="autoZero"/>
        <c:crossBetween val="between"/>
      </c:valAx>
      <c:valAx>
        <c:axId val="285376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378024"/>
        <c:crosses val="max"/>
        <c:crossBetween val="between"/>
      </c:valAx>
      <c:catAx>
        <c:axId val="285378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537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47491184"/>
        <c:axId val="247491576"/>
      </c:barChart>
      <c:catAx>
        <c:axId val="247491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491576"/>
        <c:crosses val="autoZero"/>
        <c:auto val="1"/>
        <c:lblAlgn val="ctr"/>
        <c:lblOffset val="100"/>
        <c:noMultiLvlLbl val="0"/>
      </c:catAx>
      <c:valAx>
        <c:axId val="24749157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474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10</xdr:col>
          <xdr:colOff>66675</xdr:colOff>
          <xdr:row>6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 Avançado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744855</xdr:colOff>
      <xdr:row>1</xdr:row>
      <xdr:rowOff>857249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xmlns="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xmlns="" id="{00000000-0008-0000-0C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xmlns="" id="{00000000-0008-0000-0C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0</xdr:colOff>
          <xdr:row>1</xdr:row>
          <xdr:rowOff>114300</xdr:rowOff>
        </xdr:from>
        <xdr:to>
          <xdr:col>91</xdr:col>
          <xdr:colOff>9525</xdr:colOff>
          <xdr:row>6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123825</xdr:colOff>
          <xdr:row>7</xdr:row>
          <xdr:rowOff>114300</xdr:rowOff>
        </xdr:from>
        <xdr:to>
          <xdr:col>91</xdr:col>
          <xdr:colOff>19050</xdr:colOff>
          <xdr:row>13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Dinâmica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Samantha" refreshedDate="45356.577825694447" backgroundQuery="1" createdVersion="8" refreshedVersion="8" minRefreshableVersion="3" recordCount="0" supportSubquery="1" supportAdvancedDrill="1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Samantha" refreshedDate="45356.577826851855" createdVersion="5" refreshedVersion="8" minRefreshableVersion="3" recordCount="0" supportSubquery="1" supportAdvancedDrill="1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Samantha" refreshedDate="45356.577828472226" backgroundQuery="1" createdVersion="8" refreshedVersion="8" minRefreshableVersion="3" recordCount="0" supportSubquery="1" supportAdvancedDrill="1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Samantha" refreshedDate="45356.577831712966" backgroundQuery="1" createdVersion="8" refreshedVersion="8" minRefreshableVersion="3" recordCount="0" supportSubquery="1" supportAdvancedDrill="1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Samantha" refreshedDate="45356.57783263889" backgroundQuery="1" createdVersion="8" refreshedVersion="8" minRefreshableVersion="3" recordCount="0" supportSubquery="1" supportAdvancedDrill="1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Samantha" refreshedDate="45356.577834027776" backgroundQuery="1" createdVersion="8" refreshedVersion="8" minRefreshableVersion="3" recordCount="0" supportSubquery="1" supportAdvancedDrill="1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Samantha" refreshedDate="45356.577834374999" createdVersion="8" refreshedVersion="8" minRefreshableVersion="3" recordCount="60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Samantha" refreshedDate="45356.577823958331" backgroundQuery="1" createdVersion="3" refreshedVersion="8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5355323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DN_Produtos" cacheId="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DN_Vendas" cacheId="3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Tabela dinâmica2" cacheId="4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TBDN_Vendedores" cacheId="5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Tabela dinâmica4" cacheId="2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Tabela dinâmica6" cacheId="1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ategoria1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__Ano" sourceName="[TB_Vendas_Hist].[Data (Ano)]">
  <pivotTables>
    <pivotTable tabId="42" name="Tabela dinâmica1"/>
    <pivotTable tabId="42" name="Tabela dinâmica4"/>
    <pivotTable tabId="42" name="Tabela dinâmica6"/>
  </pivotTables>
  <data>
    <olap pivotCacheId="453553233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__Mês" sourceName="[TB_Vendas_Hist].[Data (Mês)]">
  <pivotTables>
    <pivotTable tabId="42" name="Tabela dinâmica1"/>
    <pivotTable tabId="42" name="Tabela dinâmica4"/>
  </pivotTables>
  <data>
    <olap pivotCacheId="453553233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egoria 1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a (Ano)" cache="SegmentaçãodeDados_Data__Ano" caption="Ano" columnCount="2" level="1" style="SlicerStyleLight2" rowHeight="234950"/>
  <slicer name="Data (Mês)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_Produtos" displayName="TB_Produtos" ref="B6:G66" totalsRowShown="0" headerRowDxfId="30">
  <tableColumns count="6">
    <tableColumn id="1" name="Código" dataDxfId="29"/>
    <tableColumn id="2" name="Produtos"/>
    <tableColumn id="3" name="Tamanho" dataDxfId="28"/>
    <tableColumn id="4" name="Categoria"/>
    <tableColumn id="6" name="Estoque" dataDxfId="27"/>
    <tableColumn id="5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B_Vendas" displayName="TB_Vendas" ref="A4:M86" totalsRowShown="0" headerRowDxfId="24" dataDxfId="23" headerRowCellStyle="Cabeçalho Meteora">
  <autoFilter ref="A4:M86"/>
  <tableColumns count="13">
    <tableColumn id="7" name="Nº" dataDxfId="22">
      <calculatedColumnFormula>MONTH(TB_Vendas[[#This Row],[Data]])</calculatedColumnFormula>
    </tableColumn>
    <tableColumn id="1" name="Data" dataDxfId="21"/>
    <tableColumn id="12" name="Código" dataDxfId="20"/>
    <tableColumn id="16" name="Categoria" dataDxfId="19">
      <calculatedColumnFormula>_xlfn.XLOOKUP(TB_Vendas[[#This Row],[Código]],TB_Produtos[Código],TB_Produtos[Categoria])</calculatedColumnFormula>
    </tableColumn>
    <tableColumn id="5" name="Qtd" dataDxfId="18"/>
    <tableColumn id="9" name="Preço Unitário" dataDxfId="17">
      <calculatedColumnFormula>VLOOKUP(TB_Vendas[[#This Row],[Código]],Produtos!$B$6:$G$66,6,0)</calculatedColumnFormula>
    </tableColumn>
    <tableColumn id="18" name="Indice" dataDxfId="16">
      <calculatedColumnFormula>_xlfn.XMATCH(TB_Vendas[[#This Row],[Categoria]],Desc_Categorias,0)</calculatedColumnFormula>
    </tableColumn>
    <tableColumn id="17" name="Desconto _x000a_(Passo a Passo)" dataDxfId="15" dataCellStyle="Porcentagem">
      <calculatedColumnFormula>VLOOKUP(TB_Vendas[[#This Row],[Qtd]],Desc_TabelaToda,TB_Vendas[[#This Row],[Indice]],TRUE)</calculatedColumnFormula>
    </tableColumn>
    <tableColumn id="2" name="Desconto _x000a_(Diretão)" dataDxfId="1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name="Desconto _x000a_(Vendedor)" dataDxfId="13" dataCellStyle="Porcentagem">
      <calculatedColumnFormula>_xlfn.XLOOKUP(TB_Vendas[[#This Row],[Vendedor]],Vendedores!$A$5:$A$9,Vendedores!$D$5:$D$9)</calculatedColumnFormula>
    </tableColumn>
    <tableColumn id="4" name="Desconto Final" dataDxfId="1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name="Total" dataDxfId="11">
      <calculatedColumnFormula>TB_Vendas[[#This Row],[Preço Unitário]]*TB_Vendas[[#This Row],[Qtd]]</calculatedColumnFormula>
    </tableColumn>
    <tableColumn id="8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TB_Vendas_Hist" displayName="TB_Vendas_Hist" ref="A1:H253" tableType="queryTable" totalsRowShown="0">
  <autoFilter ref="A1:H253"/>
  <tableColumns count="8">
    <tableColumn id="1" uniqueName="1" name="Data" queryTableFieldId="1" dataDxfId="9"/>
    <tableColumn id="2" uniqueName="2" name="Código" queryTableFieldId="2" dataDxfId="8"/>
    <tableColumn id="3" uniqueName="3" name="Categoria" queryTableFieldId="3" dataDxfId="7"/>
    <tableColumn id="4" uniqueName="4" name="Qtd" queryTableFieldId="4"/>
    <tableColumn id="5" uniqueName="5" name="Preço Unitário" queryTableFieldId="5"/>
    <tableColumn id="6" uniqueName="6" name="Desconto Final" queryTableFieldId="6"/>
    <tableColumn id="7" uniqueName="7" name="Total" queryTableFieldId="7"/>
    <tableColumn id="8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L16"/>
  <sheetViews>
    <sheetView workbookViewId="0"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</row>
    <row r="2" spans="1:12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</row>
    <row r="3" spans="1:12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</row>
    <row r="4" spans="1:12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</row>
    <row r="5" spans="1:12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66"/>
  <sheetViews>
    <sheetView showGridLines="0" zoomScale="120" zoomScaleNormal="120" workbookViewId="0">
      <pane ySplit="1" topLeftCell="A45" activePane="bottomLeft" state="frozen"/>
      <selection pane="bottomLeft" activeCell="B6" sqref="B6:G7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5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F49"/>
  <sheetViews>
    <sheetView tabSelected="1" workbookViewId="0">
      <selection activeCell="E12" sqref="E12"/>
    </sheetView>
  </sheetViews>
  <sheetFormatPr defaultRowHeight="15"/>
  <cols>
    <col min="1" max="1" width="12.5703125" customWidth="1"/>
    <col min="2" max="2" width="11.42578125" bestFit="1" customWidth="1"/>
    <col min="3" max="3" width="11.5703125" bestFit="1" customWidth="1"/>
    <col min="4" max="4" width="11.85546875" bestFit="1" customWidth="1"/>
    <col min="6" max="6" width="17" bestFit="1" customWidth="1"/>
  </cols>
  <sheetData>
    <row r="1" spans="1:6" ht="15.75">
      <c r="A1" s="78" t="s">
        <v>30</v>
      </c>
      <c r="B1" s="79" t="s">
        <v>0</v>
      </c>
      <c r="C1" s="79" t="s">
        <v>1</v>
      </c>
      <c r="D1" s="79" t="s">
        <v>10</v>
      </c>
      <c r="E1" s="79" t="s">
        <v>75</v>
      </c>
      <c r="F1" s="80" t="s">
        <v>11</v>
      </c>
    </row>
    <row r="2" spans="1:6" ht="15.75" thickBot="1">
      <c r="A2" s="81"/>
      <c r="B2" s="82"/>
      <c r="C2" s="83"/>
      <c r="D2" s="82"/>
      <c r="E2" s="83"/>
      <c r="F2" s="84" t="s">
        <v>184</v>
      </c>
    </row>
    <row r="4" spans="1:6" ht="15.75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34</v>
      </c>
      <c r="B5" t="s">
        <v>29</v>
      </c>
      <c r="C5" s="1" t="s">
        <v>8</v>
      </c>
      <c r="D5" t="s">
        <v>13</v>
      </c>
      <c r="E5" s="1">
        <v>36</v>
      </c>
      <c r="F5" s="2">
        <v>145</v>
      </c>
    </row>
    <row r="6" spans="1:6">
      <c r="A6" s="1" t="s">
        <v>35</v>
      </c>
      <c r="B6" t="s">
        <v>28</v>
      </c>
      <c r="C6" s="1" t="s">
        <v>8</v>
      </c>
      <c r="D6" t="s">
        <v>13</v>
      </c>
      <c r="E6" s="1">
        <v>21</v>
      </c>
      <c r="F6" s="2">
        <v>259.89999999999998</v>
      </c>
    </row>
    <row r="7" spans="1:6">
      <c r="A7" s="1" t="s">
        <v>50</v>
      </c>
      <c r="B7" t="s">
        <v>22</v>
      </c>
      <c r="C7" s="1" t="s">
        <v>2</v>
      </c>
      <c r="D7" t="s">
        <v>12</v>
      </c>
      <c r="E7" s="1">
        <v>34</v>
      </c>
      <c r="F7" s="2">
        <v>299.89999999999998</v>
      </c>
    </row>
    <row r="8" spans="1:6">
      <c r="A8" s="1" t="s">
        <v>51</v>
      </c>
      <c r="B8" t="s">
        <v>22</v>
      </c>
      <c r="C8" s="1" t="s">
        <v>3</v>
      </c>
      <c r="D8" t="s">
        <v>12</v>
      </c>
      <c r="E8" s="1">
        <v>34</v>
      </c>
      <c r="F8" s="2">
        <v>302.89999999999998</v>
      </c>
    </row>
    <row r="9" spans="1:6">
      <c r="A9" s="1" t="s">
        <v>52</v>
      </c>
      <c r="B9" t="s">
        <v>22</v>
      </c>
      <c r="C9" s="1" t="s">
        <v>4</v>
      </c>
      <c r="D9" t="s">
        <v>12</v>
      </c>
      <c r="E9" s="1">
        <v>35</v>
      </c>
      <c r="F9" s="2">
        <v>300</v>
      </c>
    </row>
    <row r="10" spans="1:6">
      <c r="A10" s="1" t="s">
        <v>53</v>
      </c>
      <c r="B10" t="s">
        <v>21</v>
      </c>
      <c r="C10" s="1" t="s">
        <v>2</v>
      </c>
      <c r="D10" t="s">
        <v>12</v>
      </c>
      <c r="E10" s="1">
        <v>49</v>
      </c>
      <c r="F10" s="2">
        <v>249.9</v>
      </c>
    </row>
    <row r="11" spans="1:6">
      <c r="A11" s="1" t="s">
        <v>54</v>
      </c>
      <c r="B11" t="s">
        <v>21</v>
      </c>
      <c r="C11" s="1" t="s">
        <v>3</v>
      </c>
      <c r="D11" t="s">
        <v>12</v>
      </c>
      <c r="E11" s="1">
        <v>16</v>
      </c>
      <c r="F11" s="2">
        <v>259.89999999999998</v>
      </c>
    </row>
    <row r="12" spans="1:6">
      <c r="A12" s="1" t="s">
        <v>55</v>
      </c>
      <c r="B12" t="s">
        <v>21</v>
      </c>
      <c r="C12" s="1" t="s">
        <v>4</v>
      </c>
      <c r="D12" t="s">
        <v>12</v>
      </c>
      <c r="E12" s="1">
        <v>41</v>
      </c>
      <c r="F12" s="2">
        <v>299.89999999999998</v>
      </c>
    </row>
    <row r="13" spans="1:6">
      <c r="A13" s="1" t="s">
        <v>56</v>
      </c>
      <c r="B13" t="s">
        <v>20</v>
      </c>
      <c r="C13" s="1" t="s">
        <v>8</v>
      </c>
      <c r="D13" t="s">
        <v>13</v>
      </c>
      <c r="E13" s="1">
        <v>32</v>
      </c>
      <c r="F13" s="2">
        <v>349.9</v>
      </c>
    </row>
    <row r="14" spans="1:6">
      <c r="A14" s="1" t="s">
        <v>57</v>
      </c>
      <c r="B14" t="s">
        <v>19</v>
      </c>
      <c r="C14" s="1" t="s">
        <v>8</v>
      </c>
      <c r="D14" t="s">
        <v>13</v>
      </c>
      <c r="E14" s="1">
        <v>45</v>
      </c>
      <c r="F14" s="2">
        <v>120</v>
      </c>
    </row>
    <row r="15" spans="1:6">
      <c r="A15" s="1" t="s">
        <v>58</v>
      </c>
      <c r="B15" t="s">
        <v>27</v>
      </c>
      <c r="C15" s="1">
        <v>36</v>
      </c>
      <c r="D15" t="s">
        <v>14</v>
      </c>
      <c r="E15" s="1">
        <v>37</v>
      </c>
      <c r="F15" s="2">
        <v>249.9</v>
      </c>
    </row>
    <row r="16" spans="1:6">
      <c r="A16" s="1" t="s">
        <v>59</v>
      </c>
      <c r="B16" t="s">
        <v>27</v>
      </c>
      <c r="C16" s="1">
        <v>37</v>
      </c>
      <c r="D16" t="s">
        <v>14</v>
      </c>
      <c r="E16" s="1">
        <v>41</v>
      </c>
      <c r="F16" s="2">
        <v>255</v>
      </c>
    </row>
    <row r="17" spans="1:6">
      <c r="A17" s="1" t="s">
        <v>60</v>
      </c>
      <c r="B17" t="s">
        <v>27</v>
      </c>
      <c r="C17" s="1">
        <v>38</v>
      </c>
      <c r="D17" t="s">
        <v>14</v>
      </c>
      <c r="E17" s="1">
        <v>30</v>
      </c>
      <c r="F17" s="2">
        <v>259.89999999999998</v>
      </c>
    </row>
    <row r="18" spans="1:6">
      <c r="A18" s="1" t="s">
        <v>61</v>
      </c>
      <c r="B18" t="s">
        <v>111</v>
      </c>
      <c r="C18" s="1">
        <v>36</v>
      </c>
      <c r="D18" t="s">
        <v>14</v>
      </c>
      <c r="E18" s="1">
        <v>27</v>
      </c>
      <c r="F18" s="2">
        <v>245</v>
      </c>
    </row>
    <row r="19" spans="1:6">
      <c r="A19" s="1" t="s">
        <v>62</v>
      </c>
      <c r="B19" t="s">
        <v>111</v>
      </c>
      <c r="C19" s="1">
        <v>37</v>
      </c>
      <c r="D19" t="s">
        <v>14</v>
      </c>
      <c r="E19" s="1">
        <v>41</v>
      </c>
      <c r="F19" s="2">
        <v>250</v>
      </c>
    </row>
    <row r="20" spans="1:6">
      <c r="A20" s="1" t="s">
        <v>63</v>
      </c>
      <c r="B20" t="s">
        <v>111</v>
      </c>
      <c r="C20" s="1">
        <v>38</v>
      </c>
      <c r="D20" t="s">
        <v>14</v>
      </c>
      <c r="E20" s="1">
        <v>43</v>
      </c>
      <c r="F20" s="2">
        <v>259.89999999999998</v>
      </c>
    </row>
    <row r="21" spans="1:6">
      <c r="A21" s="1" t="s">
        <v>67</v>
      </c>
      <c r="B21" t="s">
        <v>24</v>
      </c>
      <c r="C21" s="1" t="s">
        <v>2</v>
      </c>
      <c r="D21" t="s">
        <v>12</v>
      </c>
      <c r="E21" s="1">
        <v>34</v>
      </c>
      <c r="F21" s="2">
        <v>140</v>
      </c>
    </row>
    <row r="22" spans="1:6">
      <c r="A22" s="1" t="s">
        <v>68</v>
      </c>
      <c r="B22" t="s">
        <v>24</v>
      </c>
      <c r="C22" s="1" t="s">
        <v>3</v>
      </c>
      <c r="D22" t="s">
        <v>12</v>
      </c>
      <c r="E22" s="1">
        <v>47</v>
      </c>
      <c r="F22" s="2">
        <v>142.9</v>
      </c>
    </row>
    <row r="23" spans="1:6">
      <c r="A23" s="1" t="s">
        <v>69</v>
      </c>
      <c r="B23" t="s">
        <v>24</v>
      </c>
      <c r="C23" s="1" t="s">
        <v>4</v>
      </c>
      <c r="D23" t="s">
        <v>12</v>
      </c>
      <c r="E23" s="1">
        <v>50</v>
      </c>
      <c r="F23" s="2">
        <v>146</v>
      </c>
    </row>
    <row r="24" spans="1:6">
      <c r="A24" s="1" t="s">
        <v>90</v>
      </c>
      <c r="B24" t="s">
        <v>91</v>
      </c>
      <c r="C24" s="1" t="s">
        <v>2</v>
      </c>
      <c r="D24" t="s">
        <v>12</v>
      </c>
      <c r="E24" s="1">
        <v>15</v>
      </c>
      <c r="F24" s="8">
        <v>289.89999999999998</v>
      </c>
    </row>
    <row r="25" spans="1:6">
      <c r="A25" s="1" t="s">
        <v>92</v>
      </c>
      <c r="B25" t="s">
        <v>91</v>
      </c>
      <c r="C25" s="1" t="s">
        <v>3</v>
      </c>
      <c r="D25" t="s">
        <v>12</v>
      </c>
      <c r="E25" s="1">
        <v>10</v>
      </c>
      <c r="F25" s="8">
        <v>289.89999999999998</v>
      </c>
    </row>
    <row r="26" spans="1:6">
      <c r="A26" s="1" t="s">
        <v>93</v>
      </c>
      <c r="B26" t="s">
        <v>91</v>
      </c>
      <c r="C26" s="1" t="s">
        <v>4</v>
      </c>
      <c r="D26" t="s">
        <v>12</v>
      </c>
      <c r="E26" s="1">
        <v>21</v>
      </c>
      <c r="F26" s="8">
        <v>289.89999999999998</v>
      </c>
    </row>
    <row r="27" spans="1:6">
      <c r="A27" s="1" t="s">
        <v>106</v>
      </c>
      <c r="B27" t="s">
        <v>108</v>
      </c>
      <c r="C27" s="1" t="s">
        <v>2</v>
      </c>
      <c r="D27" t="s">
        <v>12</v>
      </c>
      <c r="E27" s="1">
        <v>40</v>
      </c>
      <c r="F27" s="2">
        <v>180</v>
      </c>
    </row>
    <row r="28" spans="1:6">
      <c r="A28" s="1" t="s">
        <v>109</v>
      </c>
      <c r="B28" t="s">
        <v>108</v>
      </c>
      <c r="C28" s="1" t="s">
        <v>3</v>
      </c>
      <c r="D28" t="s">
        <v>12</v>
      </c>
      <c r="E28" s="1">
        <v>35</v>
      </c>
      <c r="F28" s="2">
        <v>180</v>
      </c>
    </row>
    <row r="29" spans="1:6">
      <c r="A29" s="1" t="s">
        <v>110</v>
      </c>
      <c r="B29" t="s">
        <v>108</v>
      </c>
      <c r="C29" s="1" t="s">
        <v>4</v>
      </c>
      <c r="D29" t="s">
        <v>12</v>
      </c>
      <c r="E29" s="1">
        <v>35</v>
      </c>
      <c r="F29" s="2">
        <v>180</v>
      </c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8"/>
    </row>
    <row r="33" spans="1:6">
      <c r="A33" s="1"/>
      <c r="C33" s="1"/>
      <c r="E33" s="1"/>
      <c r="F33" s="8"/>
    </row>
    <row r="34" spans="1:6">
      <c r="A34" s="1"/>
      <c r="C34" s="1"/>
      <c r="E34" s="1"/>
      <c r="F34" s="8"/>
    </row>
    <row r="35" spans="1:6">
      <c r="A35" s="1"/>
      <c r="C35" s="1"/>
      <c r="E35" s="1"/>
      <c r="F35" s="8"/>
    </row>
    <row r="36" spans="1:6">
      <c r="A36" s="1"/>
      <c r="C36" s="1"/>
      <c r="E36" s="1"/>
      <c r="F36" s="8"/>
    </row>
    <row r="37" spans="1:6">
      <c r="A37" s="1"/>
      <c r="C37" s="1"/>
      <c r="E37" s="1"/>
      <c r="F37" s="8"/>
    </row>
    <row r="38" spans="1:6">
      <c r="A38" s="1"/>
      <c r="C38" s="1"/>
      <c r="E38" s="1"/>
      <c r="F38" s="8"/>
    </row>
    <row r="39" spans="1:6">
      <c r="A39" s="1"/>
      <c r="C39" s="1"/>
      <c r="E39" s="1"/>
      <c r="F39" s="8"/>
    </row>
    <row r="40" spans="1:6">
      <c r="A40" s="1"/>
      <c r="C40" s="1"/>
      <c r="E40" s="1"/>
      <c r="F40" s="8"/>
    </row>
    <row r="41" spans="1:6">
      <c r="A41" s="1"/>
      <c r="C41" s="1"/>
      <c r="E41" s="1"/>
      <c r="F41" s="8"/>
    </row>
    <row r="42" spans="1:6">
      <c r="A42" s="1"/>
      <c r="C42" s="1"/>
      <c r="E42" s="1"/>
      <c r="F42" s="8"/>
    </row>
    <row r="43" spans="1:6">
      <c r="A43" s="1"/>
      <c r="C43" s="1"/>
      <c r="E43" s="1"/>
      <c r="F43" s="8"/>
    </row>
    <row r="44" spans="1:6">
      <c r="A44" s="1"/>
      <c r="C44" s="1"/>
      <c r="E44" s="1"/>
      <c r="F44" s="8"/>
    </row>
    <row r="45" spans="1:6">
      <c r="A45" s="1"/>
      <c r="C45" s="1"/>
      <c r="E45" s="1"/>
      <c r="F45" s="8"/>
    </row>
    <row r="46" spans="1:6">
      <c r="A46" s="1"/>
      <c r="C46" s="1"/>
      <c r="E46" s="1"/>
      <c r="F46" s="8"/>
    </row>
    <row r="47" spans="1:6">
      <c r="A47" s="1"/>
      <c r="C47" s="1"/>
      <c r="E47" s="1"/>
      <c r="F47" s="2"/>
    </row>
    <row r="48" spans="1:6">
      <c r="A48" s="1"/>
      <c r="C48" s="1"/>
      <c r="E48" s="1"/>
      <c r="F48" s="2"/>
    </row>
    <row r="49" spans="1:6">
      <c r="A49" s="1"/>
      <c r="C49" s="1"/>
      <c r="E49" s="1"/>
      <c r="F49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iltro_Avancado_Automatizado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10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86" t="s">
        <v>82</v>
      </c>
      <c r="C1" s="86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18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86"/>
  <sheetViews>
    <sheetView topLeftCell="B1" zoomScaleNormal="100" workbookViewId="0">
      <pane ySplit="1" topLeftCell="A2" activePane="bottomLeft" state="frozen"/>
      <selection activeCell="B1" sqref="B1"/>
      <selection pane="bottomLeft" activeCell="F11" sqref="F11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1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253"/>
  <sheetViews>
    <sheetView zoomScale="130" zoomScaleNormal="130" workbookViewId="0">
      <selection activeCell="H8" sqref="H8"/>
    </sheetView>
  </sheetViews>
  <sheetFormatPr defaultRowHeight="15"/>
  <cols>
    <col min="1" max="1" width="11" bestFit="1" customWidth="1"/>
    <col min="2" max="2" width="9.140625" bestFit="1" customWidth="1"/>
    <col min="3" max="3" width="11.28515625" bestFit="1" customWidth="1"/>
    <col min="4" max="4" width="6.28515625" bestFit="1" customWidth="1"/>
    <col min="5" max="5" width="15.28515625" bestFit="1" customWidth="1"/>
    <col min="6" max="6" width="15.5703125" bestFit="1" customWidth="1"/>
    <col min="7" max="7" width="7.42578125" bestFit="1" customWidth="1"/>
    <col min="8" max="8" width="11.57031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7" t="s">
        <v>140</v>
      </c>
      <c r="C4" s="87"/>
      <c r="D4" s="15"/>
      <c r="E4" s="87" t="s">
        <v>147</v>
      </c>
      <c r="F4" s="87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2.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Vendas!$B:$B</xm:f>
          </x14:formula1>
          <xm:sqref>F6</xm:sqref>
        </x14:dataValidation>
        <x14:dataValidation type="list" allowBlank="1" showInputMessage="1" showErrorMessage="1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7.42578125" bestFit="1" customWidth="1"/>
    <col min="6" max="6" width="21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6">
        <v>1482</v>
      </c>
      <c r="C4" s="66">
        <v>5298.699999999998</v>
      </c>
      <c r="E4" s="64" t="s">
        <v>12</v>
      </c>
      <c r="F4" s="75">
        <v>45</v>
      </c>
    </row>
    <row r="5" spans="1:6" ht="15.75">
      <c r="A5" s="65" t="s">
        <v>13</v>
      </c>
      <c r="B5" s="76">
        <v>159</v>
      </c>
      <c r="C5" s="66">
        <v>964.59999999999991</v>
      </c>
      <c r="E5" s="64" t="s">
        <v>13</v>
      </c>
      <c r="F5" s="75">
        <v>6</v>
      </c>
    </row>
    <row r="6" spans="1:6" ht="15.75">
      <c r="A6" s="65" t="s">
        <v>14</v>
      </c>
      <c r="B6" s="76">
        <v>350</v>
      </c>
      <c r="C6" s="66">
        <v>1789.4</v>
      </c>
      <c r="E6" s="64" t="s">
        <v>14</v>
      </c>
      <c r="F6" s="75">
        <v>9</v>
      </c>
    </row>
    <row r="7" spans="1:6">
      <c r="A7" s="64" t="s">
        <v>161</v>
      </c>
      <c r="B7" s="77">
        <v>1991</v>
      </c>
      <c r="C7" s="2">
        <v>8052.6999999999971</v>
      </c>
      <c r="E7" s="64" t="s">
        <v>161</v>
      </c>
      <c r="F7" s="75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7.42578125" bestFit="1" customWidth="1"/>
    <col min="2" max="2" width="13.28515625" bestFit="1" customWidth="1"/>
    <col min="3" max="3" width="11.85546875" bestFit="1" customWidth="1"/>
    <col min="4" max="4" width="4.85546875" customWidth="1"/>
    <col min="5" max="5" width="17.42578125" bestFit="1" customWidth="1"/>
    <col min="6" max="6" width="11.140625" style="1" bestFit="1" customWidth="1"/>
    <col min="7" max="7" width="10.5703125" style="1" bestFit="1" customWidth="1"/>
    <col min="8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75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7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75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75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75">
        <v>17</v>
      </c>
    </row>
    <row r="9" spans="1:11">
      <c r="A9" s="64" t="s">
        <v>171</v>
      </c>
      <c r="B9" s="2">
        <v>3477.7000000000007</v>
      </c>
      <c r="C9" s="75">
        <v>41</v>
      </c>
    </row>
    <row r="10" spans="1:11">
      <c r="A10" s="64" t="s">
        <v>172</v>
      </c>
      <c r="B10" s="2">
        <v>8602.0999999999985</v>
      </c>
      <c r="C10" s="75">
        <v>53</v>
      </c>
    </row>
    <row r="11" spans="1:11">
      <c r="A11" s="64" t="s">
        <v>173</v>
      </c>
      <c r="B11" s="2">
        <v>6373.7</v>
      </c>
      <c r="C11" s="75">
        <v>56</v>
      </c>
    </row>
    <row r="12" spans="1:11">
      <c r="A12" s="64" t="s">
        <v>161</v>
      </c>
      <c r="B12" s="2">
        <v>33304.799999999988</v>
      </c>
      <c r="C12" s="75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18.7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18.7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36.7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5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5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5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5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5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8" t="s">
        <v>76</v>
      </c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90"/>
      <c r="AQ2" s="88" t="s">
        <v>77</v>
      </c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90"/>
      <c r="BK2" s="88" t="s">
        <v>78</v>
      </c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90"/>
    </row>
    <row r="3" spans="3:80" ht="9.75" customHeight="1" thickBot="1">
      <c r="W3" s="91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3"/>
      <c r="AQ3" s="91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3"/>
      <c r="BK3" s="91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3"/>
    </row>
    <row r="4" spans="3:80" ht="9.75" customHeight="1">
      <c r="W4" s="103">
        <f>GETPIVOTDATA("Produtos",DN_Produtos!$E$3)</f>
        <v>60</v>
      </c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5"/>
      <c r="AQ4" s="103">
        <f>GETPIVOTDATA("[Measures].[Soma de Qtd]",DN_Vendas!$A$3)</f>
        <v>250</v>
      </c>
      <c r="AR4" s="104"/>
      <c r="AS4" s="104"/>
      <c r="AT4" s="104"/>
      <c r="AU4" s="104"/>
      <c r="AV4" s="104"/>
      <c r="AW4" s="104"/>
      <c r="AX4" s="104"/>
      <c r="AY4" s="104"/>
      <c r="AZ4" s="104"/>
      <c r="BA4" s="104"/>
      <c r="BB4" s="104"/>
      <c r="BC4" s="104"/>
      <c r="BD4" s="104"/>
      <c r="BE4" s="104"/>
      <c r="BF4" s="104"/>
      <c r="BG4" s="104"/>
      <c r="BH4" s="105"/>
      <c r="BK4" s="112">
        <f>GETPIVOTDATA("[Measures].[Soma de Total]",DN_Vendas!$A$3)</f>
        <v>33304.799999999988</v>
      </c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4"/>
    </row>
    <row r="5" spans="3:80" ht="9.75" customHeight="1">
      <c r="W5" s="106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8"/>
      <c r="AQ5" s="106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8"/>
      <c r="BK5" s="115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V5" s="116"/>
      <c r="BW5" s="116"/>
      <c r="BX5" s="116"/>
      <c r="BY5" s="116"/>
      <c r="BZ5" s="116"/>
      <c r="CA5" s="116"/>
      <c r="CB5" s="117"/>
    </row>
    <row r="6" spans="3:80" ht="9.75" customHeight="1">
      <c r="W6" s="106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8"/>
      <c r="AQ6" s="106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8"/>
      <c r="BK6" s="115"/>
      <c r="BL6" s="116"/>
      <c r="BM6" s="116"/>
      <c r="BN6" s="116"/>
      <c r="BO6" s="116"/>
      <c r="BP6" s="116"/>
      <c r="BQ6" s="116"/>
      <c r="BR6" s="116"/>
      <c r="BS6" s="116"/>
      <c r="BT6" s="116"/>
      <c r="BU6" s="116"/>
      <c r="BV6" s="116"/>
      <c r="BW6" s="116"/>
      <c r="BX6" s="116"/>
      <c r="BY6" s="116"/>
      <c r="BZ6" s="116"/>
      <c r="CA6" s="116"/>
      <c r="CB6" s="117"/>
    </row>
    <row r="7" spans="3:80" ht="9.75" customHeight="1" thickBot="1">
      <c r="W7" s="109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1"/>
      <c r="AQ7" s="109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1"/>
      <c r="BK7" s="118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20"/>
    </row>
    <row r="8" spans="3:80" ht="9.75" customHeight="1" thickBot="1"/>
    <row r="9" spans="3:80" ht="9.75" customHeight="1">
      <c r="C9" s="88" t="s">
        <v>79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90"/>
    </row>
    <row r="10" spans="3:80" ht="9.75" customHeight="1" thickBot="1">
      <c r="C10" s="91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3"/>
    </row>
    <row r="11" spans="3:80" ht="9.75" customHeight="1">
      <c r="C11" s="94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6"/>
    </row>
    <row r="12" spans="3:80" ht="9.75" customHeight="1">
      <c r="C12" s="97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9"/>
    </row>
    <row r="13" spans="3:80" ht="9.75" customHeight="1">
      <c r="C13" s="97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9"/>
    </row>
    <row r="14" spans="3:80" ht="9.75" customHeight="1">
      <c r="C14" s="97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9"/>
    </row>
    <row r="15" spans="3:80" ht="9.75" customHeight="1">
      <c r="C15" s="97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9"/>
    </row>
    <row r="16" spans="3:80" ht="9.75" customHeight="1">
      <c r="C16" s="97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9"/>
    </row>
    <row r="17" spans="3:80" ht="9.75" customHeight="1"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9"/>
    </row>
    <row r="18" spans="3:80" ht="9.75" customHeight="1">
      <c r="C18" s="97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9"/>
    </row>
    <row r="19" spans="3:80" ht="9.75" customHeight="1">
      <c r="C19" s="97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  <c r="AZ19" s="98"/>
      <c r="BA19" s="98"/>
      <c r="BB19" s="98"/>
      <c r="BC19" s="98"/>
      <c r="BD19" s="98"/>
      <c r="BE19" s="98"/>
      <c r="BF19" s="98"/>
      <c r="BG19" s="98"/>
      <c r="BH19" s="98"/>
      <c r="BI19" s="98"/>
      <c r="BJ19" s="98"/>
      <c r="BK19" s="98"/>
      <c r="BL19" s="98"/>
      <c r="BM19" s="98"/>
      <c r="BN19" s="98"/>
      <c r="BO19" s="98"/>
      <c r="BP19" s="98"/>
      <c r="BQ19" s="98"/>
      <c r="BR19" s="98"/>
      <c r="BS19" s="98"/>
      <c r="BT19" s="98"/>
      <c r="BU19" s="98"/>
      <c r="BV19" s="98"/>
      <c r="BW19" s="98"/>
      <c r="BX19" s="98"/>
      <c r="BY19" s="98"/>
      <c r="BZ19" s="98"/>
      <c r="CA19" s="98"/>
      <c r="CB19" s="99"/>
    </row>
    <row r="20" spans="3:80" ht="9.75" customHeight="1">
      <c r="C20" s="97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9"/>
    </row>
    <row r="21" spans="3:80" ht="9.75" customHeight="1">
      <c r="C21" s="97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  <c r="BJ21" s="98"/>
      <c r="BK21" s="98"/>
      <c r="BL21" s="98"/>
      <c r="BM21" s="98"/>
      <c r="BN21" s="98"/>
      <c r="BO21" s="98"/>
      <c r="BP21" s="98"/>
      <c r="BQ21" s="98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9"/>
    </row>
    <row r="22" spans="3:80" ht="9.75" customHeight="1">
      <c r="C22" s="97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98"/>
      <c r="BS22" s="98"/>
      <c r="BT22" s="98"/>
      <c r="BU22" s="98"/>
      <c r="BV22" s="98"/>
      <c r="BW22" s="98"/>
      <c r="BX22" s="98"/>
      <c r="BY22" s="98"/>
      <c r="BZ22" s="98"/>
      <c r="CA22" s="98"/>
      <c r="CB22" s="99"/>
    </row>
    <row r="23" spans="3:80" ht="9.75" customHeight="1">
      <c r="C23" s="97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8"/>
      <c r="BU23" s="98"/>
      <c r="BV23" s="98"/>
      <c r="BW23" s="98"/>
      <c r="BX23" s="98"/>
      <c r="BY23" s="98"/>
      <c r="BZ23" s="98"/>
      <c r="CA23" s="98"/>
      <c r="CB23" s="99"/>
    </row>
    <row r="24" spans="3:80" ht="9.75" customHeight="1" thickBot="1">
      <c r="C24" s="100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  <c r="AX24" s="101"/>
      <c r="AY24" s="101"/>
      <c r="AZ24" s="101"/>
      <c r="BA24" s="101"/>
      <c r="BB24" s="101"/>
      <c r="BC24" s="101"/>
      <c r="BD24" s="101"/>
      <c r="BE24" s="101"/>
      <c r="BF24" s="101"/>
      <c r="BG24" s="101"/>
      <c r="BH24" s="101"/>
      <c r="BI24" s="101"/>
      <c r="BJ24" s="101"/>
      <c r="BK24" s="101"/>
      <c r="BL24" s="101"/>
      <c r="BM24" s="101"/>
      <c r="BN24" s="101"/>
      <c r="BO24" s="101"/>
      <c r="BP24" s="101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2"/>
    </row>
    <row r="25" spans="3:80" ht="9.75" customHeight="1" thickBot="1"/>
    <row r="26" spans="3:80" ht="9.75" customHeight="1">
      <c r="C26" s="88" t="s">
        <v>80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90"/>
      <c r="AO26" s="6"/>
      <c r="AP26" s="6"/>
      <c r="AQ26" s="88" t="s">
        <v>81</v>
      </c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90"/>
    </row>
    <row r="27" spans="3:80" ht="9.75" customHeight="1" thickBot="1">
      <c r="C27" s="91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3"/>
      <c r="AO27" s="6"/>
      <c r="AP27" s="6"/>
      <c r="AQ27" s="91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3"/>
    </row>
    <row r="28" spans="3:80" ht="9.75" customHeight="1">
      <c r="C28" s="94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6"/>
      <c r="AQ28" s="94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6"/>
    </row>
    <row r="29" spans="3:80" ht="9.75" customHeight="1">
      <c r="C29" s="97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9"/>
      <c r="AQ29" s="97"/>
      <c r="AR29" s="98"/>
      <c r="AS29" s="98"/>
      <c r="AT29" s="98"/>
      <c r="AU29" s="98"/>
      <c r="AV29" s="98"/>
      <c r="AW29" s="98"/>
      <c r="AX29" s="98"/>
      <c r="AY29" s="98"/>
      <c r="AZ29" s="98"/>
      <c r="BA29" s="98"/>
      <c r="BB29" s="98"/>
      <c r="BC29" s="98"/>
      <c r="BD29" s="98"/>
      <c r="BE29" s="98"/>
      <c r="BF29" s="98"/>
      <c r="BG29" s="98"/>
      <c r="BH29" s="98"/>
      <c r="BI29" s="98"/>
      <c r="BJ29" s="98"/>
      <c r="BK29" s="98"/>
      <c r="BL29" s="98"/>
      <c r="BM29" s="98"/>
      <c r="BN29" s="98"/>
      <c r="BO29" s="98"/>
      <c r="BP29" s="98"/>
      <c r="BQ29" s="98"/>
      <c r="BR29" s="98"/>
      <c r="BS29" s="98"/>
      <c r="BT29" s="98"/>
      <c r="BU29" s="98"/>
      <c r="BV29" s="98"/>
      <c r="BW29" s="98"/>
      <c r="BX29" s="98"/>
      <c r="BY29" s="98"/>
      <c r="BZ29" s="98"/>
      <c r="CA29" s="98"/>
      <c r="CB29" s="99"/>
    </row>
    <row r="30" spans="3:80" ht="9.75" customHeight="1">
      <c r="C30" s="97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9"/>
      <c r="AQ30" s="97"/>
      <c r="AR30" s="98"/>
      <c r="AS30" s="98"/>
      <c r="AT30" s="98"/>
      <c r="AU30" s="98"/>
      <c r="AV30" s="98"/>
      <c r="AW30" s="98"/>
      <c r="AX30" s="98"/>
      <c r="AY30" s="98"/>
      <c r="AZ30" s="98"/>
      <c r="BA30" s="98"/>
      <c r="BB30" s="98"/>
      <c r="BC30" s="98"/>
      <c r="BD30" s="98"/>
      <c r="BE30" s="98"/>
      <c r="BF30" s="98"/>
      <c r="BG30" s="98"/>
      <c r="BH30" s="98"/>
      <c r="BI30" s="98"/>
      <c r="BJ30" s="98"/>
      <c r="BK30" s="98"/>
      <c r="BL30" s="98"/>
      <c r="BM30" s="98"/>
      <c r="BN30" s="98"/>
      <c r="BO30" s="98"/>
      <c r="BP30" s="98"/>
      <c r="BQ30" s="98"/>
      <c r="BR30" s="98"/>
      <c r="BS30" s="98"/>
      <c r="BT30" s="98"/>
      <c r="BU30" s="98"/>
      <c r="BV30" s="98"/>
      <c r="BW30" s="98"/>
      <c r="BX30" s="98"/>
      <c r="BY30" s="98"/>
      <c r="BZ30" s="98"/>
      <c r="CA30" s="98"/>
      <c r="CB30" s="99"/>
    </row>
    <row r="31" spans="3:80" ht="9.75" customHeight="1">
      <c r="C31" s="97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9"/>
      <c r="AQ31" s="97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8"/>
      <c r="BU31" s="98"/>
      <c r="BV31" s="98"/>
      <c r="BW31" s="98"/>
      <c r="BX31" s="98"/>
      <c r="BY31" s="98"/>
      <c r="BZ31" s="98"/>
      <c r="CA31" s="98"/>
      <c r="CB31" s="99"/>
    </row>
    <row r="32" spans="3:80" ht="9.75" customHeight="1">
      <c r="C32" s="97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9"/>
      <c r="AQ32" s="97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8"/>
      <c r="BU32" s="98"/>
      <c r="BV32" s="98"/>
      <c r="BW32" s="98"/>
      <c r="BX32" s="98"/>
      <c r="BY32" s="98"/>
      <c r="BZ32" s="98"/>
      <c r="CA32" s="98"/>
      <c r="CB32" s="99"/>
    </row>
    <row r="33" spans="3:80" ht="9.75" customHeight="1">
      <c r="C33" s="97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9"/>
      <c r="AQ33" s="97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  <c r="BU33" s="98"/>
      <c r="BV33" s="98"/>
      <c r="BW33" s="98"/>
      <c r="BX33" s="98"/>
      <c r="BY33" s="98"/>
      <c r="BZ33" s="98"/>
      <c r="CA33" s="98"/>
      <c r="CB33" s="99"/>
    </row>
    <row r="34" spans="3:80" ht="9.75" customHeight="1">
      <c r="C34" s="97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9"/>
      <c r="AQ34" s="97"/>
      <c r="AR34" s="98"/>
      <c r="AS34" s="98"/>
      <c r="AT34" s="98"/>
      <c r="AU34" s="98"/>
      <c r="AV34" s="98"/>
      <c r="AW34" s="98"/>
      <c r="AX34" s="98"/>
      <c r="AY34" s="98"/>
      <c r="AZ34" s="98"/>
      <c r="BA34" s="98"/>
      <c r="BB34" s="98"/>
      <c r="BC34" s="98"/>
      <c r="BD34" s="98"/>
      <c r="BE34" s="98"/>
      <c r="BF34" s="98"/>
      <c r="BG34" s="98"/>
      <c r="BH34" s="98"/>
      <c r="BI34" s="98"/>
      <c r="BJ34" s="98"/>
      <c r="BK34" s="98"/>
      <c r="BL34" s="98"/>
      <c r="BM34" s="98"/>
      <c r="BN34" s="98"/>
      <c r="BO34" s="98"/>
      <c r="BP34" s="98"/>
      <c r="BQ34" s="98"/>
      <c r="BR34" s="98"/>
      <c r="BS34" s="98"/>
      <c r="BT34" s="98"/>
      <c r="BU34" s="98"/>
      <c r="BV34" s="98"/>
      <c r="BW34" s="98"/>
      <c r="BX34" s="98"/>
      <c r="BY34" s="98"/>
      <c r="BZ34" s="98"/>
      <c r="CA34" s="98"/>
      <c r="CB34" s="99"/>
    </row>
    <row r="35" spans="3:80" ht="9.75" customHeight="1">
      <c r="C35" s="97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9"/>
      <c r="AQ35" s="97"/>
      <c r="AR35" s="98"/>
      <c r="AS35" s="98"/>
      <c r="AT35" s="98"/>
      <c r="AU35" s="98"/>
      <c r="AV35" s="98"/>
      <c r="AW35" s="98"/>
      <c r="AX35" s="98"/>
      <c r="AY35" s="98"/>
      <c r="AZ35" s="98"/>
      <c r="BA35" s="98"/>
      <c r="BB35" s="98"/>
      <c r="BC35" s="98"/>
      <c r="BD35" s="98"/>
      <c r="BE35" s="98"/>
      <c r="BF35" s="98"/>
      <c r="BG35" s="98"/>
      <c r="BH35" s="98"/>
      <c r="BI35" s="98"/>
      <c r="BJ35" s="98"/>
      <c r="BK35" s="98"/>
      <c r="BL35" s="98"/>
      <c r="BM35" s="98"/>
      <c r="BN35" s="98"/>
      <c r="BO35" s="98"/>
      <c r="BP35" s="98"/>
      <c r="BQ35" s="98"/>
      <c r="BR35" s="98"/>
      <c r="BS35" s="98"/>
      <c r="BT35" s="98"/>
      <c r="BU35" s="98"/>
      <c r="BV35" s="98"/>
      <c r="BW35" s="98"/>
      <c r="BX35" s="98"/>
      <c r="BY35" s="98"/>
      <c r="BZ35" s="98"/>
      <c r="CA35" s="98"/>
      <c r="CB35" s="99"/>
    </row>
    <row r="36" spans="3:80" ht="9.75" customHeight="1"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9"/>
      <c r="AQ36" s="97"/>
      <c r="AR36" s="98"/>
      <c r="AS36" s="98"/>
      <c r="AT36" s="98"/>
      <c r="AU36" s="98"/>
      <c r="AV36" s="98"/>
      <c r="AW36" s="98"/>
      <c r="AX36" s="98"/>
      <c r="AY36" s="98"/>
      <c r="AZ36" s="98"/>
      <c r="BA36" s="98"/>
      <c r="BB36" s="98"/>
      <c r="BC36" s="98"/>
      <c r="BD36" s="98"/>
      <c r="BE36" s="98"/>
      <c r="BF36" s="98"/>
      <c r="BG36" s="98"/>
      <c r="BH36" s="98"/>
      <c r="BI36" s="98"/>
      <c r="BJ36" s="98"/>
      <c r="BK36" s="98"/>
      <c r="BL36" s="98"/>
      <c r="BM36" s="98"/>
      <c r="BN36" s="98"/>
      <c r="BO36" s="98"/>
      <c r="BP36" s="98"/>
      <c r="BQ36" s="98"/>
      <c r="BR36" s="98"/>
      <c r="BS36" s="98"/>
      <c r="BT36" s="98"/>
      <c r="BU36" s="98"/>
      <c r="BV36" s="98"/>
      <c r="BW36" s="98"/>
      <c r="BX36" s="98"/>
      <c r="BY36" s="98"/>
      <c r="BZ36" s="98"/>
      <c r="CA36" s="98"/>
      <c r="CB36" s="99"/>
    </row>
    <row r="37" spans="3:80" ht="9.75" customHeight="1">
      <c r="C37" s="97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9"/>
      <c r="AQ37" s="97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8"/>
      <c r="CB37" s="99"/>
    </row>
    <row r="38" spans="3:80" ht="9.75" customHeight="1">
      <c r="C38" s="97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9"/>
      <c r="AQ38" s="97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98"/>
      <c r="BT38" s="98"/>
      <c r="BU38" s="98"/>
      <c r="BV38" s="98"/>
      <c r="BW38" s="98"/>
      <c r="BX38" s="98"/>
      <c r="BY38" s="98"/>
      <c r="BZ38" s="98"/>
      <c r="CA38" s="98"/>
      <c r="CB38" s="99"/>
    </row>
    <row r="39" spans="3:80" ht="9.75" customHeight="1">
      <c r="C39" s="97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9"/>
      <c r="AQ39" s="97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8"/>
      <c r="BX39" s="98"/>
      <c r="BY39" s="98"/>
      <c r="BZ39" s="98"/>
      <c r="CA39" s="98"/>
      <c r="CB39" s="99"/>
    </row>
    <row r="40" spans="3:80" ht="9.75" customHeight="1">
      <c r="C40" s="97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9"/>
      <c r="AQ40" s="97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  <c r="BJ40" s="98"/>
      <c r="BK40" s="98"/>
      <c r="BL40" s="98"/>
      <c r="BM40" s="98"/>
      <c r="BN40" s="98"/>
      <c r="BO40" s="98"/>
      <c r="BP40" s="98"/>
      <c r="BQ40" s="98"/>
      <c r="BR40" s="98"/>
      <c r="BS40" s="98"/>
      <c r="BT40" s="98"/>
      <c r="BU40" s="98"/>
      <c r="BV40" s="98"/>
      <c r="BW40" s="98"/>
      <c r="BX40" s="98"/>
      <c r="BY40" s="98"/>
      <c r="BZ40" s="98"/>
      <c r="CA40" s="98"/>
      <c r="CB40" s="99"/>
    </row>
    <row r="41" spans="3:80" ht="9.75" customHeight="1">
      <c r="C41" s="97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9"/>
      <c r="AQ41" s="97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  <c r="BV41" s="98"/>
      <c r="BW41" s="98"/>
      <c r="BX41" s="98"/>
      <c r="BY41" s="98"/>
      <c r="BZ41" s="98"/>
      <c r="CA41" s="98"/>
      <c r="CB41" s="99"/>
    </row>
    <row r="42" spans="3:80" ht="9.75" customHeight="1">
      <c r="C42" s="97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9"/>
      <c r="AQ42" s="97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9"/>
    </row>
    <row r="43" spans="3:80" ht="9.75" customHeight="1">
      <c r="C43" s="97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9"/>
      <c r="AQ43" s="97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9"/>
    </row>
    <row r="44" spans="3:80" ht="9.75" customHeight="1">
      <c r="C44" s="97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9"/>
      <c r="AQ44" s="97"/>
      <c r="AR44" s="98"/>
      <c r="AS44" s="98"/>
      <c r="AT44" s="98"/>
      <c r="AU44" s="98"/>
      <c r="AV44" s="98"/>
      <c r="AW44" s="98"/>
      <c r="AX44" s="98"/>
      <c r="AY44" s="98"/>
      <c r="AZ44" s="98"/>
      <c r="BA44" s="98"/>
      <c r="BB44" s="98"/>
      <c r="BC44" s="98"/>
      <c r="BD44" s="98"/>
      <c r="BE44" s="98"/>
      <c r="BF44" s="98"/>
      <c r="BG44" s="98"/>
      <c r="BH44" s="98"/>
      <c r="BI44" s="98"/>
      <c r="BJ44" s="98"/>
      <c r="BK44" s="98"/>
      <c r="BL44" s="98"/>
      <c r="BM44" s="98"/>
      <c r="BN44" s="98"/>
      <c r="BO44" s="98"/>
      <c r="BP44" s="98"/>
      <c r="BQ44" s="98"/>
      <c r="BR44" s="98"/>
      <c r="BS44" s="98"/>
      <c r="BT44" s="98"/>
      <c r="BU44" s="98"/>
      <c r="BV44" s="98"/>
      <c r="BW44" s="98"/>
      <c r="BX44" s="98"/>
      <c r="BY44" s="98"/>
      <c r="BZ44" s="98"/>
      <c r="CA44" s="98"/>
      <c r="CB44" s="99"/>
    </row>
    <row r="45" spans="3:80" ht="9.75" customHeight="1">
      <c r="C45" s="97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9"/>
      <c r="AQ45" s="97"/>
      <c r="AR45" s="98"/>
      <c r="AS45" s="98"/>
      <c r="AT45" s="98"/>
      <c r="AU45" s="98"/>
      <c r="AV45" s="98"/>
      <c r="AW45" s="98"/>
      <c r="AX45" s="98"/>
      <c r="AY45" s="98"/>
      <c r="AZ45" s="98"/>
      <c r="BA45" s="98"/>
      <c r="BB45" s="98"/>
      <c r="BC45" s="98"/>
      <c r="BD45" s="98"/>
      <c r="BE45" s="98"/>
      <c r="BF45" s="98"/>
      <c r="BG45" s="98"/>
      <c r="BH45" s="98"/>
      <c r="BI45" s="98"/>
      <c r="BJ45" s="98"/>
      <c r="BK45" s="98"/>
      <c r="BL45" s="98"/>
      <c r="BM45" s="98"/>
      <c r="BN45" s="98"/>
      <c r="BO45" s="98"/>
      <c r="BP45" s="98"/>
      <c r="BQ45" s="98"/>
      <c r="BR45" s="98"/>
      <c r="BS45" s="98"/>
      <c r="BT45" s="98"/>
      <c r="BU45" s="98"/>
      <c r="BV45" s="98"/>
      <c r="BW45" s="98"/>
      <c r="BX45" s="98"/>
      <c r="BY45" s="98"/>
      <c r="BZ45" s="98"/>
      <c r="CA45" s="98"/>
      <c r="CB45" s="99"/>
    </row>
    <row r="46" spans="3:80" ht="9.75" customHeight="1" thickBot="1">
      <c r="C46" s="100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2"/>
      <c r="AQ46" s="100"/>
      <c r="AR46" s="101"/>
      <c r="AS46" s="101"/>
      <c r="AT46" s="101"/>
      <c r="AU46" s="101"/>
      <c r="AV46" s="101"/>
      <c r="AW46" s="101"/>
      <c r="AX46" s="101"/>
      <c r="AY46" s="101"/>
      <c r="AZ46" s="101"/>
      <c r="BA46" s="101"/>
      <c r="BB46" s="101"/>
      <c r="BC46" s="101"/>
      <c r="BD46" s="101"/>
      <c r="BE46" s="101"/>
      <c r="BF46" s="101"/>
      <c r="BG46" s="101"/>
      <c r="BH46" s="101"/>
      <c r="BI46" s="101"/>
      <c r="BJ46" s="101"/>
      <c r="BK46" s="101"/>
      <c r="BL46" s="101"/>
      <c r="BM46" s="101"/>
      <c r="BN46" s="101"/>
      <c r="BO46" s="101"/>
      <c r="BP46" s="101"/>
      <c r="BQ46" s="101"/>
      <c r="BR46" s="101"/>
      <c r="BS46" s="101"/>
      <c r="BT46" s="101"/>
      <c r="BU46" s="101"/>
      <c r="BV46" s="101"/>
      <c r="BW46" s="101"/>
      <c r="BX46" s="101"/>
      <c r="BY46" s="101"/>
      <c r="BZ46" s="101"/>
      <c r="CA46" s="101"/>
      <c r="CB46" s="102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>
    <tabColor theme="5"/>
  </sheetPr>
  <dimension ref="A2:N16"/>
  <sheetViews>
    <sheetView workbookViewId="0">
      <selection activeCell="I12" sqref="I12"/>
    </sheetView>
  </sheetViews>
  <sheetFormatPr defaultRowHeight="15"/>
  <cols>
    <col min="1" max="1" width="17.42578125" bestFit="1" customWidth="1"/>
    <col min="2" max="2" width="14.140625" bestFit="1" customWidth="1"/>
    <col min="3" max="3" width="11.85546875" bestFit="1" customWidth="1"/>
    <col min="4" max="4" width="8.140625" customWidth="1"/>
    <col min="5" max="5" width="17.42578125" bestFit="1" customWidth="1"/>
    <col min="6" max="6" width="14.140625" bestFit="1" customWidth="1"/>
    <col min="7" max="7" width="6.5703125" customWidth="1"/>
    <col min="8" max="8" width="17.42578125" bestFit="1" customWidth="1"/>
    <col min="9" max="9" width="15.5703125" bestFit="1" customWidth="1"/>
    <col min="10" max="10" width="15" bestFit="1" customWidth="1"/>
    <col min="11" max="11" width="17.1406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75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7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75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75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75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75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75">
        <v>133</v>
      </c>
    </row>
    <row r="11" spans="1:14">
      <c r="A11" s="64" t="s">
        <v>173</v>
      </c>
      <c r="B11" s="8">
        <v>21585.8</v>
      </c>
      <c r="C11" s="75">
        <v>147</v>
      </c>
    </row>
    <row r="12" spans="1:14">
      <c r="A12" s="64" t="s">
        <v>177</v>
      </c>
      <c r="B12" s="8">
        <v>19851</v>
      </c>
      <c r="C12" s="75">
        <v>151</v>
      </c>
    </row>
    <row r="13" spans="1:14">
      <c r="A13" s="64" t="s">
        <v>178</v>
      </c>
      <c r="B13" s="8">
        <v>15659.4</v>
      </c>
      <c r="C13" s="75">
        <v>151</v>
      </c>
    </row>
    <row r="14" spans="1:14">
      <c r="A14" s="64" t="s">
        <v>179</v>
      </c>
      <c r="B14" s="8">
        <v>9455.2000000000007</v>
      </c>
      <c r="C14" s="75">
        <v>92</v>
      </c>
    </row>
    <row r="15" spans="1:14">
      <c r="A15" s="64" t="s">
        <v>180</v>
      </c>
      <c r="B15" s="8">
        <v>19742.5</v>
      </c>
      <c r="C15" s="75">
        <v>129</v>
      </c>
    </row>
    <row r="16" spans="1:14">
      <c r="A16" s="64" t="s">
        <v>161</v>
      </c>
      <c r="B16" s="8">
        <v>207441.1</v>
      </c>
      <c r="C16" s="75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3"/>
  <dimension ref="C2:CB46"/>
  <sheetViews>
    <sheetView showGridLines="0" showRowColHeaders="0" topLeftCell="A7" zoomScaleNormal="100" workbookViewId="0">
      <selection activeCell="BQ63" sqref="BQ63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8" t="s">
        <v>79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90"/>
    </row>
    <row r="10" spans="3:80" ht="9.75" customHeight="1" thickBot="1">
      <c r="C10" s="91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3"/>
    </row>
    <row r="11" spans="3:80" ht="9.75" customHeight="1">
      <c r="C11" s="94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6"/>
    </row>
    <row r="12" spans="3:80" ht="9.75" customHeight="1">
      <c r="C12" s="97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9"/>
    </row>
    <row r="13" spans="3:80" ht="9.75" customHeight="1">
      <c r="C13" s="97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9"/>
    </row>
    <row r="14" spans="3:80" ht="9.75" customHeight="1">
      <c r="C14" s="97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9"/>
    </row>
    <row r="15" spans="3:80" ht="9.75" customHeight="1">
      <c r="C15" s="97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9"/>
    </row>
    <row r="16" spans="3:80" ht="9.75" customHeight="1">
      <c r="C16" s="97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9"/>
    </row>
    <row r="17" spans="3:80" ht="9.75" customHeight="1"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9"/>
    </row>
    <row r="18" spans="3:80" ht="9.75" customHeight="1">
      <c r="C18" s="97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9"/>
    </row>
    <row r="19" spans="3:80" ht="9.75" customHeight="1">
      <c r="C19" s="97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  <c r="AZ19" s="98"/>
      <c r="BA19" s="98"/>
      <c r="BB19" s="98"/>
      <c r="BC19" s="98"/>
      <c r="BD19" s="98"/>
      <c r="BE19" s="98"/>
      <c r="BF19" s="98"/>
      <c r="BG19" s="98"/>
      <c r="BH19" s="98"/>
      <c r="BI19" s="98"/>
      <c r="BJ19" s="98"/>
      <c r="BK19" s="98"/>
      <c r="BL19" s="98"/>
      <c r="BM19" s="98"/>
      <c r="BN19" s="98"/>
      <c r="BO19" s="98"/>
      <c r="BP19" s="98"/>
      <c r="BQ19" s="98"/>
      <c r="BR19" s="98"/>
      <c r="BS19" s="98"/>
      <c r="BT19" s="98"/>
      <c r="BU19" s="98"/>
      <c r="BV19" s="98"/>
      <c r="BW19" s="98"/>
      <c r="BX19" s="98"/>
      <c r="BY19" s="98"/>
      <c r="BZ19" s="98"/>
      <c r="CA19" s="98"/>
      <c r="CB19" s="99"/>
    </row>
    <row r="20" spans="3:80" ht="9.75" customHeight="1">
      <c r="C20" s="97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9"/>
    </row>
    <row r="21" spans="3:80" ht="9.75" customHeight="1">
      <c r="C21" s="97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  <c r="BJ21" s="98"/>
      <c r="BK21" s="98"/>
      <c r="BL21" s="98"/>
      <c r="BM21" s="98"/>
      <c r="BN21" s="98"/>
      <c r="BO21" s="98"/>
      <c r="BP21" s="98"/>
      <c r="BQ21" s="98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9"/>
    </row>
    <row r="22" spans="3:80" ht="9.75" customHeight="1">
      <c r="C22" s="97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98"/>
      <c r="BS22" s="98"/>
      <c r="BT22" s="98"/>
      <c r="BU22" s="98"/>
      <c r="BV22" s="98"/>
      <c r="BW22" s="98"/>
      <c r="BX22" s="98"/>
      <c r="BY22" s="98"/>
      <c r="BZ22" s="98"/>
      <c r="CA22" s="98"/>
      <c r="CB22" s="99"/>
    </row>
    <row r="23" spans="3:80" ht="9.75" customHeight="1">
      <c r="C23" s="97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8"/>
      <c r="BU23" s="98"/>
      <c r="BV23" s="98"/>
      <c r="BW23" s="98"/>
      <c r="BX23" s="98"/>
      <c r="BY23" s="98"/>
      <c r="BZ23" s="98"/>
      <c r="CA23" s="98"/>
      <c r="CB23" s="99"/>
    </row>
    <row r="24" spans="3:80" ht="9.75" customHeight="1" thickBot="1">
      <c r="C24" s="100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  <c r="AX24" s="101"/>
      <c r="AY24" s="101"/>
      <c r="AZ24" s="101"/>
      <c r="BA24" s="101"/>
      <c r="BB24" s="101"/>
      <c r="BC24" s="101"/>
      <c r="BD24" s="101"/>
      <c r="BE24" s="101"/>
      <c r="BF24" s="101"/>
      <c r="BG24" s="101"/>
      <c r="BH24" s="101"/>
      <c r="BI24" s="101"/>
      <c r="BJ24" s="101"/>
      <c r="BK24" s="101"/>
      <c r="BL24" s="101"/>
      <c r="BM24" s="101"/>
      <c r="BN24" s="101"/>
      <c r="BO24" s="101"/>
      <c r="BP24" s="101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2"/>
    </row>
    <row r="25" spans="3:80" ht="9.75" customHeight="1" thickBot="1"/>
    <row r="26" spans="3:80" ht="9.75" customHeight="1">
      <c r="C26" s="88" t="s">
        <v>80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90"/>
      <c r="AO26" s="6"/>
      <c r="AP26" s="6"/>
      <c r="AQ26" s="88" t="s">
        <v>81</v>
      </c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90"/>
    </row>
    <row r="27" spans="3:80" ht="9.75" customHeight="1" thickBot="1">
      <c r="C27" s="91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3"/>
      <c r="AO27" s="6"/>
      <c r="AP27" s="6"/>
      <c r="AQ27" s="91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3"/>
    </row>
    <row r="28" spans="3:80" ht="9.75" customHeight="1">
      <c r="C28" s="94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6"/>
      <c r="AQ28" s="94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6"/>
    </row>
    <row r="29" spans="3:80" ht="9.75" customHeight="1">
      <c r="C29" s="97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9"/>
      <c r="AQ29" s="97"/>
      <c r="AR29" s="98"/>
      <c r="AS29" s="98"/>
      <c r="AT29" s="98"/>
      <c r="AU29" s="98"/>
      <c r="AV29" s="98"/>
      <c r="AW29" s="98"/>
      <c r="AX29" s="98"/>
      <c r="AY29" s="98"/>
      <c r="AZ29" s="98"/>
      <c r="BA29" s="98"/>
      <c r="BB29" s="98"/>
      <c r="BC29" s="98"/>
      <c r="BD29" s="98"/>
      <c r="BE29" s="98"/>
      <c r="BF29" s="98"/>
      <c r="BG29" s="98"/>
      <c r="BH29" s="98"/>
      <c r="BI29" s="98"/>
      <c r="BJ29" s="98"/>
      <c r="BK29" s="98"/>
      <c r="BL29" s="98"/>
      <c r="BM29" s="98"/>
      <c r="BN29" s="98"/>
      <c r="BO29" s="98"/>
      <c r="BP29" s="98"/>
      <c r="BQ29" s="98"/>
      <c r="BR29" s="98"/>
      <c r="BS29" s="98"/>
      <c r="BT29" s="98"/>
      <c r="BU29" s="98"/>
      <c r="BV29" s="98"/>
      <c r="BW29" s="98"/>
      <c r="BX29" s="98"/>
      <c r="BY29" s="98"/>
      <c r="BZ29" s="98"/>
      <c r="CA29" s="98"/>
      <c r="CB29" s="99"/>
    </row>
    <row r="30" spans="3:80" ht="9.75" customHeight="1">
      <c r="C30" s="97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9"/>
      <c r="AQ30" s="97"/>
      <c r="AR30" s="98"/>
      <c r="AS30" s="98"/>
      <c r="AT30" s="98"/>
      <c r="AU30" s="98"/>
      <c r="AV30" s="98"/>
      <c r="AW30" s="98"/>
      <c r="AX30" s="98"/>
      <c r="AY30" s="98"/>
      <c r="AZ30" s="98"/>
      <c r="BA30" s="98"/>
      <c r="BB30" s="98"/>
      <c r="BC30" s="98"/>
      <c r="BD30" s="98"/>
      <c r="BE30" s="98"/>
      <c r="BF30" s="98"/>
      <c r="BG30" s="98"/>
      <c r="BH30" s="98"/>
      <c r="BI30" s="98"/>
      <c r="BJ30" s="98"/>
      <c r="BK30" s="98"/>
      <c r="BL30" s="98"/>
      <c r="BM30" s="98"/>
      <c r="BN30" s="98"/>
      <c r="BO30" s="98"/>
      <c r="BP30" s="98"/>
      <c r="BQ30" s="98"/>
      <c r="BR30" s="98"/>
      <c r="BS30" s="98"/>
      <c r="BT30" s="98"/>
      <c r="BU30" s="98"/>
      <c r="BV30" s="98"/>
      <c r="BW30" s="98"/>
      <c r="BX30" s="98"/>
      <c r="BY30" s="98"/>
      <c r="BZ30" s="98"/>
      <c r="CA30" s="98"/>
      <c r="CB30" s="99"/>
    </row>
    <row r="31" spans="3:80" ht="9.75" customHeight="1">
      <c r="C31" s="97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9"/>
      <c r="AQ31" s="97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8"/>
      <c r="BU31" s="98"/>
      <c r="BV31" s="98"/>
      <c r="BW31" s="98"/>
      <c r="BX31" s="98"/>
      <c r="BY31" s="98"/>
      <c r="BZ31" s="98"/>
      <c r="CA31" s="98"/>
      <c r="CB31" s="99"/>
    </row>
    <row r="32" spans="3:80" ht="9.75" customHeight="1">
      <c r="C32" s="97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9"/>
      <c r="AQ32" s="97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8"/>
      <c r="BU32" s="98"/>
      <c r="BV32" s="98"/>
      <c r="BW32" s="98"/>
      <c r="BX32" s="98"/>
      <c r="BY32" s="98"/>
      <c r="BZ32" s="98"/>
      <c r="CA32" s="98"/>
      <c r="CB32" s="99"/>
    </row>
    <row r="33" spans="3:80" ht="9.75" customHeight="1">
      <c r="C33" s="97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9"/>
      <c r="AQ33" s="97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  <c r="BU33" s="98"/>
      <c r="BV33" s="98"/>
      <c r="BW33" s="98"/>
      <c r="BX33" s="98"/>
      <c r="BY33" s="98"/>
      <c r="BZ33" s="98"/>
      <c r="CA33" s="98"/>
      <c r="CB33" s="99"/>
    </row>
    <row r="34" spans="3:80" ht="9.75" customHeight="1">
      <c r="C34" s="97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9"/>
      <c r="AQ34" s="97"/>
      <c r="AR34" s="98"/>
      <c r="AS34" s="98"/>
      <c r="AT34" s="98"/>
      <c r="AU34" s="98"/>
      <c r="AV34" s="98"/>
      <c r="AW34" s="98"/>
      <c r="AX34" s="98"/>
      <c r="AY34" s="98"/>
      <c r="AZ34" s="98"/>
      <c r="BA34" s="98"/>
      <c r="BB34" s="98"/>
      <c r="BC34" s="98"/>
      <c r="BD34" s="98"/>
      <c r="BE34" s="98"/>
      <c r="BF34" s="98"/>
      <c r="BG34" s="98"/>
      <c r="BH34" s="98"/>
      <c r="BI34" s="98"/>
      <c r="BJ34" s="98"/>
      <c r="BK34" s="98"/>
      <c r="BL34" s="98"/>
      <c r="BM34" s="98"/>
      <c r="BN34" s="98"/>
      <c r="BO34" s="98"/>
      <c r="BP34" s="98"/>
      <c r="BQ34" s="98"/>
      <c r="BR34" s="98"/>
      <c r="BS34" s="98"/>
      <c r="BT34" s="98"/>
      <c r="BU34" s="98"/>
      <c r="BV34" s="98"/>
      <c r="BW34" s="98"/>
      <c r="BX34" s="98"/>
      <c r="BY34" s="98"/>
      <c r="BZ34" s="98"/>
      <c r="CA34" s="98"/>
      <c r="CB34" s="99"/>
    </row>
    <row r="35" spans="3:80" ht="9.75" customHeight="1">
      <c r="C35" s="97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9"/>
      <c r="AQ35" s="97"/>
      <c r="AR35" s="98"/>
      <c r="AS35" s="98"/>
      <c r="AT35" s="98"/>
      <c r="AU35" s="98"/>
      <c r="AV35" s="98"/>
      <c r="AW35" s="98"/>
      <c r="AX35" s="98"/>
      <c r="AY35" s="98"/>
      <c r="AZ35" s="98"/>
      <c r="BA35" s="98"/>
      <c r="BB35" s="98"/>
      <c r="BC35" s="98"/>
      <c r="BD35" s="98"/>
      <c r="BE35" s="98"/>
      <c r="BF35" s="98"/>
      <c r="BG35" s="98"/>
      <c r="BH35" s="98"/>
      <c r="BI35" s="98"/>
      <c r="BJ35" s="98"/>
      <c r="BK35" s="98"/>
      <c r="BL35" s="98"/>
      <c r="BM35" s="98"/>
      <c r="BN35" s="98"/>
      <c r="BO35" s="98"/>
      <c r="BP35" s="98"/>
      <c r="BQ35" s="98"/>
      <c r="BR35" s="98"/>
      <c r="BS35" s="98"/>
      <c r="BT35" s="98"/>
      <c r="BU35" s="98"/>
      <c r="BV35" s="98"/>
      <c r="BW35" s="98"/>
      <c r="BX35" s="98"/>
      <c r="BY35" s="98"/>
      <c r="BZ35" s="98"/>
      <c r="CA35" s="98"/>
      <c r="CB35" s="99"/>
    </row>
    <row r="36" spans="3:80" ht="9.75" customHeight="1"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9"/>
      <c r="AQ36" s="97"/>
      <c r="AR36" s="98"/>
      <c r="AS36" s="98"/>
      <c r="AT36" s="98"/>
      <c r="AU36" s="98"/>
      <c r="AV36" s="98"/>
      <c r="AW36" s="98"/>
      <c r="AX36" s="98"/>
      <c r="AY36" s="98"/>
      <c r="AZ36" s="98"/>
      <c r="BA36" s="98"/>
      <c r="BB36" s="98"/>
      <c r="BC36" s="98"/>
      <c r="BD36" s="98"/>
      <c r="BE36" s="98"/>
      <c r="BF36" s="98"/>
      <c r="BG36" s="98"/>
      <c r="BH36" s="98"/>
      <c r="BI36" s="98"/>
      <c r="BJ36" s="98"/>
      <c r="BK36" s="98"/>
      <c r="BL36" s="98"/>
      <c r="BM36" s="98"/>
      <c r="BN36" s="98"/>
      <c r="BO36" s="98"/>
      <c r="BP36" s="98"/>
      <c r="BQ36" s="98"/>
      <c r="BR36" s="98"/>
      <c r="BS36" s="98"/>
      <c r="BT36" s="98"/>
      <c r="BU36" s="98"/>
      <c r="BV36" s="98"/>
      <c r="BW36" s="98"/>
      <c r="BX36" s="98"/>
      <c r="BY36" s="98"/>
      <c r="BZ36" s="98"/>
      <c r="CA36" s="98"/>
      <c r="CB36" s="99"/>
    </row>
    <row r="37" spans="3:80" ht="9.75" customHeight="1">
      <c r="C37" s="97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9"/>
      <c r="AQ37" s="97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8"/>
      <c r="CB37" s="99"/>
    </row>
    <row r="38" spans="3:80" ht="9.75" customHeight="1">
      <c r="C38" s="97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9"/>
      <c r="AQ38" s="97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98"/>
      <c r="BT38" s="98"/>
      <c r="BU38" s="98"/>
      <c r="BV38" s="98"/>
      <c r="BW38" s="98"/>
      <c r="BX38" s="98"/>
      <c r="BY38" s="98"/>
      <c r="BZ38" s="98"/>
      <c r="CA38" s="98"/>
      <c r="CB38" s="99"/>
    </row>
    <row r="39" spans="3:80" ht="9.75" customHeight="1">
      <c r="C39" s="97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9"/>
      <c r="AQ39" s="97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8"/>
      <c r="BX39" s="98"/>
      <c r="BY39" s="98"/>
      <c r="BZ39" s="98"/>
      <c r="CA39" s="98"/>
      <c r="CB39" s="99"/>
    </row>
    <row r="40" spans="3:80" ht="9.75" customHeight="1">
      <c r="C40" s="97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9"/>
      <c r="AQ40" s="97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  <c r="BJ40" s="98"/>
      <c r="BK40" s="98"/>
      <c r="BL40" s="98"/>
      <c r="BM40" s="98"/>
      <c r="BN40" s="98"/>
      <c r="BO40" s="98"/>
      <c r="BP40" s="98"/>
      <c r="BQ40" s="98"/>
      <c r="BR40" s="98"/>
      <c r="BS40" s="98"/>
      <c r="BT40" s="98"/>
      <c r="BU40" s="98"/>
      <c r="BV40" s="98"/>
      <c r="BW40" s="98"/>
      <c r="BX40" s="98"/>
      <c r="BY40" s="98"/>
      <c r="BZ40" s="98"/>
      <c r="CA40" s="98"/>
      <c r="CB40" s="99"/>
    </row>
    <row r="41" spans="3:80" ht="9.75" customHeight="1">
      <c r="C41" s="97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9"/>
      <c r="AQ41" s="97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  <c r="BV41" s="98"/>
      <c r="BW41" s="98"/>
      <c r="BX41" s="98"/>
      <c r="BY41" s="98"/>
      <c r="BZ41" s="98"/>
      <c r="CA41" s="98"/>
      <c r="CB41" s="99"/>
    </row>
    <row r="42" spans="3:80" ht="9.75" customHeight="1">
      <c r="C42" s="97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9"/>
      <c r="AQ42" s="97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9"/>
    </row>
    <row r="43" spans="3:80" ht="9.75" customHeight="1">
      <c r="C43" s="97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9"/>
      <c r="AQ43" s="97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9"/>
    </row>
    <row r="44" spans="3:80" ht="9.75" customHeight="1">
      <c r="C44" s="97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9"/>
      <c r="AQ44" s="97"/>
      <c r="AR44" s="98"/>
      <c r="AS44" s="98"/>
      <c r="AT44" s="98"/>
      <c r="AU44" s="98"/>
      <c r="AV44" s="98"/>
      <c r="AW44" s="98"/>
      <c r="AX44" s="98"/>
      <c r="AY44" s="98"/>
      <c r="AZ44" s="98"/>
      <c r="BA44" s="98"/>
      <c r="BB44" s="98"/>
      <c r="BC44" s="98"/>
      <c r="BD44" s="98"/>
      <c r="BE44" s="98"/>
      <c r="BF44" s="98"/>
      <c r="BG44" s="98"/>
      <c r="BH44" s="98"/>
      <c r="BI44" s="98"/>
      <c r="BJ44" s="98"/>
      <c r="BK44" s="98"/>
      <c r="BL44" s="98"/>
      <c r="BM44" s="98"/>
      <c r="BN44" s="98"/>
      <c r="BO44" s="98"/>
      <c r="BP44" s="98"/>
      <c r="BQ44" s="98"/>
      <c r="BR44" s="98"/>
      <c r="BS44" s="98"/>
      <c r="BT44" s="98"/>
      <c r="BU44" s="98"/>
      <c r="BV44" s="98"/>
      <c r="BW44" s="98"/>
      <c r="BX44" s="98"/>
      <c r="BY44" s="98"/>
      <c r="BZ44" s="98"/>
      <c r="CA44" s="98"/>
      <c r="CB44" s="99"/>
    </row>
    <row r="45" spans="3:80" ht="9.75" customHeight="1">
      <c r="C45" s="97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9"/>
      <c r="AQ45" s="97"/>
      <c r="AR45" s="98"/>
      <c r="AS45" s="98"/>
      <c r="AT45" s="98"/>
      <c r="AU45" s="98"/>
      <c r="AV45" s="98"/>
      <c r="AW45" s="98"/>
      <c r="AX45" s="98"/>
      <c r="AY45" s="98"/>
      <c r="AZ45" s="98"/>
      <c r="BA45" s="98"/>
      <c r="BB45" s="98"/>
      <c r="BC45" s="98"/>
      <c r="BD45" s="98"/>
      <c r="BE45" s="98"/>
      <c r="BF45" s="98"/>
      <c r="BG45" s="98"/>
      <c r="BH45" s="98"/>
      <c r="BI45" s="98"/>
      <c r="BJ45" s="98"/>
      <c r="BK45" s="98"/>
      <c r="BL45" s="98"/>
      <c r="BM45" s="98"/>
      <c r="BN45" s="98"/>
      <c r="BO45" s="98"/>
      <c r="BP45" s="98"/>
      <c r="BQ45" s="98"/>
      <c r="BR45" s="98"/>
      <c r="BS45" s="98"/>
      <c r="BT45" s="98"/>
      <c r="BU45" s="98"/>
      <c r="BV45" s="98"/>
      <c r="BW45" s="98"/>
      <c r="BX45" s="98"/>
      <c r="BY45" s="98"/>
      <c r="BZ45" s="98"/>
      <c r="CA45" s="98"/>
      <c r="CB45" s="99"/>
    </row>
    <row r="46" spans="3:80" ht="9.75" customHeight="1" thickBot="1">
      <c r="C46" s="100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2"/>
      <c r="AQ46" s="100"/>
      <c r="AR46" s="101"/>
      <c r="AS46" s="101"/>
      <c r="AT46" s="101"/>
      <c r="AU46" s="101"/>
      <c r="AV46" s="101"/>
      <c r="AW46" s="101"/>
      <c r="AX46" s="101"/>
      <c r="AY46" s="101"/>
      <c r="AZ46" s="101"/>
      <c r="BA46" s="101"/>
      <c r="BB46" s="101"/>
      <c r="BC46" s="101"/>
      <c r="BD46" s="101"/>
      <c r="BE46" s="101"/>
      <c r="BF46" s="101"/>
      <c r="BG46" s="101"/>
      <c r="BH46" s="101"/>
      <c r="BI46" s="101"/>
      <c r="BJ46" s="101"/>
      <c r="BK46" s="101"/>
      <c r="BL46" s="101"/>
      <c r="BM46" s="101"/>
      <c r="BN46" s="101"/>
      <c r="BO46" s="101"/>
      <c r="BP46" s="101"/>
      <c r="BQ46" s="101"/>
      <c r="BR46" s="101"/>
      <c r="BS46" s="101"/>
      <c r="BT46" s="101"/>
      <c r="BU46" s="101"/>
      <c r="BV46" s="101"/>
      <c r="BW46" s="101"/>
      <c r="BX46" s="101"/>
      <c r="BY46" s="101"/>
      <c r="BZ46" s="101"/>
      <c r="CA46" s="101"/>
      <c r="CB46" s="102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tualizar_Consulta_Hist">
                <anchor moveWithCells="1" sizeWithCells="1">
                  <from>
                    <xdr:col>81</xdr:col>
                    <xdr:colOff>0</xdr:colOff>
                    <xdr:row>1</xdr:row>
                    <xdr:rowOff>114300</xdr:rowOff>
                  </from>
                  <to>
                    <xdr:col>91</xdr:col>
                    <xdr:colOff>9525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tualizar_Tudo">
                <anchor moveWithCells="1" sizeWithCells="1">
                  <from>
                    <xdr:col>80</xdr:col>
                    <xdr:colOff>123825</xdr:colOff>
                    <xdr:row>7</xdr:row>
                    <xdr:rowOff>114300</xdr:rowOff>
                  </from>
                  <to>
                    <xdr:col>91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1D1E7D37-9613-45D5-8EDC-43C010898ABB}">
  <ds:schemaRefs/>
</ds:datastoreItem>
</file>

<file path=customXml/itemProps2.xml><?xml version="1.0" encoding="utf-8"?>
<ds:datastoreItem xmlns:ds="http://schemas.openxmlformats.org/officeDocument/2006/customXml" ds:itemID="{B978344E-877F-46A7-8D81-C1940F952A20}">
  <ds:schemaRefs/>
</ds:datastoreItem>
</file>

<file path=customXml/itemProps3.xml><?xml version="1.0" encoding="utf-8"?>
<ds:datastoreItem xmlns:ds="http://schemas.openxmlformats.org/officeDocument/2006/customXml" ds:itemID="{6C89755F-25D5-451A-81C1-6DD8AF28BA36}">
  <ds:schemaRefs/>
</ds:datastoreItem>
</file>

<file path=customXml/itemProps4.xml><?xml version="1.0" encoding="utf-8"?>
<ds:datastoreItem xmlns:ds="http://schemas.openxmlformats.org/officeDocument/2006/customXml" ds:itemID="{E137AB40-1728-4643-B64A-5DFE56A4798E}">
  <ds:schemaRefs/>
</ds:datastoreItem>
</file>

<file path=customXml/itemProps5.xml><?xml version="1.0" encoding="utf-8"?>
<ds:datastoreItem xmlns:ds="http://schemas.openxmlformats.org/officeDocument/2006/customXml" ds:itemID="{25BB5A3F-E346-480A-A7E9-E0ECAAB7F5AC}">
  <ds:schemaRefs/>
</ds:datastoreItem>
</file>

<file path=customXml/itemProps6.xml><?xml version="1.0" encoding="utf-8"?>
<ds:datastoreItem xmlns:ds="http://schemas.openxmlformats.org/officeDocument/2006/customXml" ds:itemID="{DB0DD2B5-3D61-45C4-B5FB-71993146C7E7}">
  <ds:schemaRefs/>
</ds:datastoreItem>
</file>

<file path=customXml/itemProps7.xml><?xml version="1.0" encoding="utf-8"?>
<ds:datastoreItem xmlns:ds="http://schemas.openxmlformats.org/officeDocument/2006/customXml" ds:itemID="{C6A78C9D-8065-435B-B685-2A7DBBDDC026}">
  <ds:schemaRefs/>
</ds:datastoreItem>
</file>

<file path=customXml/itemProps8.xml><?xml version="1.0" encoding="utf-8"?>
<ds:datastoreItem xmlns:ds="http://schemas.openxmlformats.org/officeDocument/2006/customXml" ds:itemID="{0B4F83D8-0085-491D-B300-BE5F2F7731F5}">
  <ds:schemaRefs/>
</ds:datastoreItem>
</file>

<file path=customXml/itemProps9.xml><?xml version="1.0" encoding="utf-8"?>
<ds:datastoreItem xmlns:ds="http://schemas.openxmlformats.org/officeDocument/2006/customXml" ds:itemID="{AE46B711-507D-4FA2-AD64-BEFBA75BECF5}">
  <ds:schemaRefs/>
</ds:datastoreItem>
</file>

<file path=customXml/itemProps10.xml><?xml version="1.0" encoding="utf-8"?>
<ds:datastoreItem xmlns:ds="http://schemas.openxmlformats.org/officeDocument/2006/customXml" ds:itemID="{7E0C7BAF-40DC-4B74-98A7-8D734812F189}">
  <ds:schemaRefs/>
</ds:datastoreItem>
</file>

<file path=customXml/itemProps11.xml><?xml version="1.0" encoding="utf-8"?>
<ds:datastoreItem xmlns:ds="http://schemas.openxmlformats.org/officeDocument/2006/customXml" ds:itemID="{88A8C053-5BCC-4302-A3EC-6CF3242E0B82}">
  <ds:schemaRefs/>
</ds:datastoreItem>
</file>

<file path=customXml/itemProps12.xml><?xml version="1.0" encoding="utf-8"?>
<ds:datastoreItem xmlns:ds="http://schemas.openxmlformats.org/officeDocument/2006/customXml" ds:itemID="{7E703DC2-5F46-422C-A583-DB730DA69245}">
  <ds:schemaRefs/>
</ds:datastoreItem>
</file>

<file path=customXml/itemProps13.xml><?xml version="1.0" encoding="utf-8"?>
<ds:datastoreItem xmlns:ds="http://schemas.openxmlformats.org/officeDocument/2006/customXml" ds:itemID="{D241DFED-96C7-410B-9EC8-D8F63F7CE5B4}">
  <ds:schemaRefs/>
</ds:datastoreItem>
</file>

<file path=customXml/itemProps14.xml><?xml version="1.0" encoding="utf-8"?>
<ds:datastoreItem xmlns:ds="http://schemas.openxmlformats.org/officeDocument/2006/customXml" ds:itemID="{4A8E958C-7F93-4889-B450-DBCB563BE705}">
  <ds:schemaRefs/>
</ds:datastoreItem>
</file>

<file path=customXml/itemProps15.xml><?xml version="1.0" encoding="utf-8"?>
<ds:datastoreItem xmlns:ds="http://schemas.openxmlformats.org/officeDocument/2006/customXml" ds:itemID="{6E87F8A6-5B3C-4ADE-98DB-48C175F0A2B0}">
  <ds:schemaRefs/>
</ds:datastoreItem>
</file>

<file path=customXml/itemProps16.xml><?xml version="1.0" encoding="utf-8"?>
<ds:datastoreItem xmlns:ds="http://schemas.openxmlformats.org/officeDocument/2006/customXml" ds:itemID="{44B6BCB6-5B75-4825-B0CC-FEB1817C362D}">
  <ds:schemaRefs/>
</ds:datastoreItem>
</file>

<file path=customXml/itemProps17.xml><?xml version="1.0" encoding="utf-8"?>
<ds:datastoreItem xmlns:ds="http://schemas.openxmlformats.org/officeDocument/2006/customXml" ds:itemID="{1E4D3292-F388-451B-A834-DE9698E505D9}">
  <ds:schemaRefs/>
</ds:datastoreItem>
</file>

<file path=customXml/itemProps18.xml><?xml version="1.0" encoding="utf-8"?>
<ds:datastoreItem xmlns:ds="http://schemas.openxmlformats.org/officeDocument/2006/customXml" ds:itemID="{976831BA-0CE6-4B82-881B-24FD45E1155C}">
  <ds:schemaRefs/>
</ds:datastoreItem>
</file>

<file path=customXml/itemProps19.xml><?xml version="1.0" encoding="utf-8"?>
<ds:datastoreItem xmlns:ds="http://schemas.openxmlformats.org/officeDocument/2006/customXml" ds:itemID="{41403322-61D8-4C07-B361-867FAC43DDDC}">
  <ds:schemaRefs/>
</ds:datastoreItem>
</file>

<file path=customXml/itemProps20.xml><?xml version="1.0" encoding="utf-8"?>
<ds:datastoreItem xmlns:ds="http://schemas.openxmlformats.org/officeDocument/2006/customXml" ds:itemID="{8467EB31-1629-4343-9314-56544F2D7367}">
  <ds:schemaRefs/>
</ds:datastoreItem>
</file>

<file path=customXml/itemProps21.xml><?xml version="1.0" encoding="utf-8"?>
<ds:datastoreItem xmlns:ds="http://schemas.openxmlformats.org/officeDocument/2006/customXml" ds:itemID="{A6D55ACD-20FE-42D4-A241-E646A1FF59CD}">
  <ds:schemaRefs/>
</ds:datastoreItem>
</file>

<file path=customXml/itemProps22.xml><?xml version="1.0" encoding="utf-8"?>
<ds:datastoreItem xmlns:ds="http://schemas.openxmlformats.org/officeDocument/2006/customXml" ds:itemID="{03E72766-9FF3-4E59-B2A3-BC8336C63639}">
  <ds:schemaRefs/>
</ds:datastoreItem>
</file>

<file path=customXml/itemProps23.xml><?xml version="1.0" encoding="utf-8"?>
<ds:datastoreItem xmlns:ds="http://schemas.openxmlformats.org/officeDocument/2006/customXml" ds:itemID="{14F30766-877F-4CEE-8B61-99D4DA6E0404}">
  <ds:schemaRefs/>
</ds:datastoreItem>
</file>

<file path=customXml/itemProps24.xml><?xml version="1.0" encoding="utf-8"?>
<ds:datastoreItem xmlns:ds="http://schemas.openxmlformats.org/officeDocument/2006/customXml" ds:itemID="{8BD1F459-29F0-476B-BAC0-1F70E583D314}">
  <ds:schemaRefs/>
</ds:datastoreItem>
</file>

<file path=customXml/itemProps25.xml><?xml version="1.0" encoding="utf-8"?>
<ds:datastoreItem xmlns:ds="http://schemas.openxmlformats.org/officeDocument/2006/customXml" ds:itemID="{A7140D0F-5704-455C-AEE9-2AF1C88808B8}">
  <ds:schemaRefs/>
</ds:datastoreItem>
</file>

<file path=customXml/itemProps26.xml><?xml version="1.0" encoding="utf-8"?>
<ds:datastoreItem xmlns:ds="http://schemas.openxmlformats.org/officeDocument/2006/customXml" ds:itemID="{B21C3F93-5E73-42A5-930D-80E9914997CC}">
  <ds:schemaRefs/>
</ds:datastoreItem>
</file>

<file path=customXml/itemProps27.xml><?xml version="1.0" encoding="utf-8"?>
<ds:datastoreItem xmlns:ds="http://schemas.openxmlformats.org/officeDocument/2006/customXml" ds:itemID="{04E75F4D-C545-41AB-B462-72FBB9A001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Usuário do Windows</cp:lastModifiedBy>
  <cp:lastPrinted>2023-06-07T14:57:58Z</cp:lastPrinted>
  <dcterms:created xsi:type="dcterms:W3CDTF">2023-06-02T17:54:12Z</dcterms:created>
  <dcterms:modified xsi:type="dcterms:W3CDTF">2024-04-02T13:36:38Z</dcterms:modified>
</cp:coreProperties>
</file>